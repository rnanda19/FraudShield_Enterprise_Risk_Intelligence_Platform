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Executive Summary" sheetId="2" state="visible" r:id="rId4"/>
    <sheet name="Dataset &amp; EDA" sheetId="3" state="visible" r:id="rId5"/>
    <sheet name="Imbalance Comparison" sheetId="4" state="visible" r:id="rId6"/>
    <sheet name="Stage A Screening" sheetId="5" state="visible" r:id="rId7"/>
    <sheet name="Stage B CV" sheetId="6" state="visible" r:id="rId8"/>
    <sheet name="Temporal Validation" sheetId="7" state="visible" r:id="rId9"/>
    <sheet name="Threshold &amp; Confusion Matrix" sheetId="8" state="visible" r:id="rId10"/>
    <sheet name="Financial Impact" sheetId="9" state="visible" r:id="rId11"/>
    <sheet name="Governance &amp; Drift" sheetId="10" state="visible" r:id="rId12"/>
    <sheet name="Adversarial Robustness" sheetId="11" state="visible" r:id="rId13"/>
    <sheet name="Deployment Latency" sheetId="12" state="visible" r:id="rId14"/>
    <sheet name="All Metrics" sheetId="13" state="visible" r:id="rId15"/>
  </sheets>
  <definedNames>
    <definedName function="false" hidden="false" localSheetId="10" name="_xlnm.Print_Area" vbProcedure="false">'Adversarial Robustness'!$A$1:$F$26</definedName>
    <definedName function="false" hidden="false" localSheetId="12" name="_xlnm.Print_Area" vbProcedure="false">'All Metrics'!$A$1:$E$24</definedName>
    <definedName function="false" hidden="false" localSheetId="2" name="_xlnm.Print_Area" vbProcedure="false">'Dataset &amp; EDA'!$A$1:$F$13</definedName>
    <definedName function="false" hidden="false" localSheetId="11" name="_xlnm.Print_Area" vbProcedure="false">'Deployment Latency'!$A$1:$E$13</definedName>
    <definedName function="false" hidden="false" localSheetId="1" name="_xlnm.Print_Area" vbProcedure="false">'Executive Summary'!$A$1:$G$18</definedName>
    <definedName function="false" hidden="false" localSheetId="8" name="_xlnm.Print_Area" vbProcedure="false">'Financial Impact'!$A$1:$F$24</definedName>
    <definedName function="false" hidden="false" localSheetId="9" name="_xlnm.Print_Area" vbProcedure="false">'Governance &amp; Drift'!$A$1:$D$20</definedName>
    <definedName function="false" hidden="false" localSheetId="3" name="_xlnm.Print_Area" vbProcedure="false">'Imbalance Comparison'!$A$1:$D$9</definedName>
    <definedName function="false" hidden="false" localSheetId="0" name="_xlnm.Print_Area" vbProcedure="false">'Read Me'!$A$1:$H$31</definedName>
    <definedName function="false" hidden="false" localSheetId="4" name="_xlnm.Print_Area" vbProcedure="false">'Stage A Screening'!$A$1:$E$9</definedName>
    <definedName function="false" hidden="false" localSheetId="5" name="_xlnm.Print_Area" vbProcedure="false">'Stage B CV'!$A$1:$D$15</definedName>
    <definedName function="false" hidden="false" localSheetId="6" name="_xlnm.Print_Area" vbProcedure="false">'Temporal Validation'!$A$1:$C$8</definedName>
    <definedName function="false" hidden="false" localSheetId="7" name="_xlnm.Print_Area" vbProcedure="false">'Threshold &amp; Confusion Matrix'!$A$1:$E$23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Bootstrap CI requires resampling and cannot be reproduced by a simple spreadsheet formula; the real value computed by the notebook is entered here as a sourced input.</t>
        </r>
      </text>
    </comment>
  </commentList>
</comments>
</file>

<file path=xl/sharedStrings.xml><?xml version="1.0" encoding="utf-8"?>
<sst xmlns="http://schemas.openxmlformats.org/spreadsheetml/2006/main" count="287" uniqueCount="227">
  <si>
    <t xml:space="preserve">FRAUD DETECTION PLATFORM</t>
  </si>
  <si>
    <t xml:space="preserve">Notebook 01 — Real Execution Workbook</t>
  </si>
  <si>
    <t xml:space="preserve">Prepared by Nandagopal  ·  September 13, 2026  ·  Version 1.0</t>
  </si>
  <si>
    <t xml:space="preserve">Provenance</t>
  </si>
  <si>
    <t xml:space="preserve">All figures in this workbook were computed by code actually executed in this session against the real, independently-verified Kaggle European credit-card-fraud dataset (284,807 rows, 492 fraud cases). None are estimated or illustrative unless a cell is explicitly labeled ASSUMPTION.</t>
  </si>
  <si>
    <t xml:space="preserve">Color Legend (financial-model convention)</t>
  </si>
  <si>
    <t xml:space="preserve">Blue text</t>
  </si>
  <si>
    <t xml:space="preserve">Hardcoded input, sourced from a real result file</t>
  </si>
  <si>
    <t xml:space="preserve">Black text</t>
  </si>
  <si>
    <t xml:space="preserve">Live formula — recalculates if inputs change</t>
  </si>
  <si>
    <t xml:space="preserve">Green text</t>
  </si>
  <si>
    <t xml:space="preserve">Cross-sheet link</t>
  </si>
  <si>
    <t xml:space="preserve">Yellow fill</t>
  </si>
  <si>
    <t xml:space="preserve">Key assumption or scenario lever — safe to edit</t>
  </si>
  <si>
    <t xml:space="preserve">Red fill</t>
  </si>
  <si>
    <t xml:space="preserve">Flagged for investigation / risk</t>
  </si>
  <si>
    <t xml:space="preserve">Filters &amp; Interactivity</t>
  </si>
  <si>
    <t xml:space="preserve">Every data table in this workbook is a native Excel Table with AutoFilter enabled — click any header's dropdown arrow to filter or sort (Stage A, Stage B folds, Adversarial Robustness, and the consolidated All Metrics sheet). Honest disclosure: openpyxl (the library used to build this file programmatically) cannot create native PivotTable Slicers — that Excel feature requires a PivotCache that only Excel's own UI writes. To add true clickable Slicers, select any table above, go to Insert &gt; PivotTable, then Insert &gt; Slicer on the resulting PivotTable. The AutoFilter dropdowns already in place give equivalent filtering without that extra step.</t>
  </si>
  <si>
    <t xml:space="preserve">Sheet Guide</t>
  </si>
  <si>
    <t xml:space="preserve">Executive Summary</t>
  </si>
  <si>
    <t xml:space="preserve">KPI dashboard, headline real numbers</t>
  </si>
  <si>
    <t xml:space="preserve">Dataset &amp; EDA</t>
  </si>
  <si>
    <t xml:space="preserve">Real structure, class balance, duplicates decision</t>
  </si>
  <si>
    <t xml:space="preserve">Imbalance Comparison</t>
  </si>
  <si>
    <t xml:space="preserve">3 real strategies compared, winner</t>
  </si>
  <si>
    <t xml:space="preserve">Stage A Screening</t>
  </si>
  <si>
    <t xml:space="preserve">5 real candidate models, filterable table</t>
  </si>
  <si>
    <t xml:space="preserve">Stage B CV</t>
  </si>
  <si>
    <t xml:space="preserve">Champion + runner-up real 5-fold CV, live mean/CI formulas</t>
  </si>
  <si>
    <t xml:space="preserve">Temporal Validation</t>
  </si>
  <si>
    <t xml:space="preserve">CV vs. honest temporal-split PR-AUC</t>
  </si>
  <si>
    <t xml:space="preserve">Threshold &amp; Confusion Matrix</t>
  </si>
  <si>
    <t xml:space="preserve">Real cost-optimal threshold, confusion matrix, benchmark gap</t>
  </si>
  <si>
    <t xml:space="preserve">Financial Impact</t>
  </si>
  <si>
    <t xml:space="preserve">Live cost model — edit the yellow assumption cells to re-run scenarios</t>
  </si>
  <si>
    <t xml:space="preserve">Governance &amp; Drift</t>
  </si>
  <si>
    <t xml:space="preserve">Gate 1/2, PSI drift monitoring</t>
  </si>
  <si>
    <t xml:space="preserve">Adversarial Robustness</t>
  </si>
  <si>
    <t xml:space="preserve">Real perturbation + boundary-search tests, filterable table</t>
  </si>
  <si>
    <t xml:space="preserve">Deployment Latency</t>
  </si>
  <si>
    <t xml:space="preserve">Real local API latency measurement</t>
  </si>
  <si>
    <t xml:space="preserve">All Metrics</t>
  </si>
  <si>
    <t xml:space="preserve">Every metric in one filterable table, for C-suite drill-down</t>
  </si>
  <si>
    <t xml:space="preserve">EXECUTIVE SUMMARY — REAL RESULTS</t>
  </si>
  <si>
    <t xml:space="preserve">Champion Model</t>
  </si>
  <si>
    <t xml:space="preserve">CatBoost</t>
  </si>
  <si>
    <t xml:space="preserve">Champion CV PR-AUC (5-fold)</t>
  </si>
  <si>
    <t xml:space="preserve">Temporal-Split PR-AUC</t>
  </si>
  <si>
    <t xml:space="preserve">Cost-Optimal Threshold</t>
  </si>
  <si>
    <t xml:space="preserve">Real Precision (OOF)</t>
  </si>
  <si>
    <t xml:space="preserve">Real Recall (OOF)</t>
  </si>
  <si>
    <t xml:space="preserve">Savings vs. No Model</t>
  </si>
  <si>
    <t xml:space="preserve">Savings vs. Naive 0.5</t>
  </si>
  <si>
    <t xml:space="preserve">SMART Suggestions</t>
  </si>
  <si>
    <t xml:space="preserve">• Adopt the cost-optimal threshold over the default 0.5 — measured to save an additional real amount (see Financial Impact sheet).</t>
  </si>
  <si>
    <t xml:space="preserve">• Investigate the benchmark precision gap flagged True on the Threshold sheet before external sign-off.</t>
  </si>
  <si>
    <t xml:space="preserve">• Treat 82.52% real recall as the honest capacity ceiling for adversarial claims, not the in-sample 100% starting baseline.</t>
  </si>
  <si>
    <t xml:space="preserve">• Re-measure feature drift (PSI) monthly in production, not as a one-time check.</t>
  </si>
  <si>
    <t xml:space="preserve">• Use the runner-up model as a documented low-cost fallback — its CV confidence interval overlaps the champion's.</t>
  </si>
  <si>
    <t xml:space="preserve">DATASET STRUCTURE (REAL, VERIFIED)</t>
  </si>
  <si>
    <t xml:space="preserve">Property</t>
  </si>
  <si>
    <t xml:space="preserve">Value</t>
  </si>
  <si>
    <t xml:space="preserve">Rows</t>
  </si>
  <si>
    <t xml:space="preserve">Columns</t>
  </si>
  <si>
    <t xml:space="preserve">Fraud cases</t>
  </si>
  <si>
    <t xml:space="preserve">Fraud rate</t>
  </si>
  <si>
    <t xml:space="preserve">Duplicate rows (full-row match)</t>
  </si>
  <si>
    <t xml:space="preserve">Duplicate flags — legitimate class</t>
  </si>
  <si>
    <t xml:space="preserve">Duplicate flags — fraud class</t>
  </si>
  <si>
    <t xml:space="preserve">Decision: duplicates retained, not dropped — the anonymized V1-V28 features make it impossible to confirm whether apparent duplicates are true repeats or distinct transactions with matching anonymized values. Dropping them risked silently discarding real fraud signal. This is a stated, documented decision.</t>
  </si>
  <si>
    <t xml:space="preserve">CLASS IMBALANCE STRATEGY COMPARISON (REAL)</t>
  </si>
  <si>
    <t xml:space="preserve">Strategy</t>
  </si>
  <si>
    <t xml:space="preserve">Mean PR-AUC</t>
  </si>
  <si>
    <t xml:space="preserve">Std. Dev.</t>
  </si>
  <si>
    <t xml:space="preserve">Class weighting</t>
  </si>
  <si>
    <t xml:space="preserve">Threshold moving</t>
  </si>
  <si>
    <t xml:space="preserve">SMOTE resampling</t>
  </si>
  <si>
    <t xml:space="preserve">Winning strategy (real, highest mean PR-AUC): Threshold Moving</t>
  </si>
  <si>
    <t xml:space="preserve">STAGE A — 5 REAL CANDIDATES SCREENED</t>
  </si>
  <si>
    <t xml:space="preserve">Rank</t>
  </si>
  <si>
    <t xml:space="preserve">Model</t>
  </si>
  <si>
    <t xml:space="preserve">Validation PR-AUC</t>
  </si>
  <si>
    <t xml:space="preserve">Advances to Stage B?</t>
  </si>
  <si>
    <t xml:space="preserve">Yes</t>
  </si>
  <si>
    <t xml:space="preserve">RandomForest</t>
  </si>
  <si>
    <t xml:space="preserve">RandomForest_Balanced</t>
  </si>
  <si>
    <t xml:space="preserve">No</t>
  </si>
  <si>
    <t xml:space="preserve">XGBoost</t>
  </si>
  <si>
    <t xml:space="preserve">LightGBM</t>
  </si>
  <si>
    <t xml:space="preserve">STAGE B — REAL 5-FOLD STRATIFIED CV</t>
  </si>
  <si>
    <t xml:space="preserve">Fold</t>
  </si>
  <si>
    <t xml:space="preserve">CatBoost PR-AUC</t>
  </si>
  <si>
    <t xml:space="preserve">RandomForest PR-AUC</t>
  </si>
  <si>
    <t xml:space="preserve">Fold 1</t>
  </si>
  <si>
    <t xml:space="preserve">Fold 2</t>
  </si>
  <si>
    <t xml:space="preserve">Fold 3</t>
  </si>
  <si>
    <t xml:space="preserve">Fold 4</t>
  </si>
  <si>
    <t xml:space="preserve">Fold 5</t>
  </si>
  <si>
    <t xml:space="preserve">Live Formulas (recompute if fold values above are edited)</t>
  </si>
  <si>
    <t xml:space="preserve">Std. Dev. (sample)</t>
  </si>
  <si>
    <t xml:space="preserve">Bootstrap 95% CI — low (real, from notebook)</t>
  </si>
  <si>
    <t xml:space="preserve">Bootstrap 95% CI — high (real, from notebook)</t>
  </si>
  <si>
    <t xml:space="preserve">TEMPORAL-SPLIT VALIDATION (HONEST, REAL)</t>
  </si>
  <si>
    <t xml:space="preserve">Validation Approach</t>
  </si>
  <si>
    <t xml:space="preserve">PR-AUC</t>
  </si>
  <si>
    <t xml:space="preserve">5-fold stratified CV (champion, shuffled)</t>
  </si>
  <si>
    <t xml:space="preserve">Temporal split (train early, test late)</t>
  </si>
  <si>
    <t xml:space="preserve">Real gap (CV minus temporal)</t>
  </si>
  <si>
    <t xml:space="preserve">COST-OPTIMAL THRESHOLD &amp; CONFUSION MATRIX (REAL)</t>
  </si>
  <si>
    <t xml:space="preserve">Metric</t>
  </si>
  <si>
    <t xml:space="preserve">Cost-optimal threshold</t>
  </si>
  <si>
    <t xml:space="preserve">Total cost at threshold (EUR)</t>
  </si>
  <si>
    <t xml:space="preserve">False-negative cost (EUR)</t>
  </si>
  <si>
    <t xml:space="preserve">False-positive cost (EUR)</t>
  </si>
  <si>
    <t xml:space="preserve">Real precision (OOF)</t>
  </si>
  <si>
    <t xml:space="preserve">Real recall (OOF)</t>
  </si>
  <si>
    <t xml:space="preserve">Confusion Matrix</t>
  </si>
  <si>
    <t xml:space="preserve">Predicted Legit</t>
  </si>
  <si>
    <t xml:space="preserve">Predicted Fraud</t>
  </si>
  <si>
    <t xml:space="preserve">Actual Legit</t>
  </si>
  <si>
    <t xml:space="preserve">Actual Fraud</t>
  </si>
  <si>
    <t xml:space="preserve">External Benchmark Comparison</t>
  </si>
  <si>
    <t xml:space="preserve">This Model</t>
  </si>
  <si>
    <t xml:space="preserve">External Reference</t>
  </si>
  <si>
    <t xml:space="preserve">Gap</t>
  </si>
  <si>
    <t xml:space="preserve">Precision</t>
  </si>
  <si>
    <t xml:space="preserve">Recall</t>
  </si>
  <si>
    <t xml:space="preserve">INVESTIGATE FLAG: True</t>
  </si>
  <si>
    <t xml:space="preserve">Large positive gaps may indicate leakage; large negative gaps may indicate a bug — investigate before trusting either.</t>
  </si>
  <si>
    <t xml:space="preserve">FINANCIAL IMPACT — LIVE COST MODEL</t>
  </si>
  <si>
    <t xml:space="preserve">Edit the yellow assumption cells below to re-run all scenarios.</t>
  </si>
  <si>
    <t xml:space="preserve">Assumptions</t>
  </si>
  <si>
    <t xml:space="preserve">FN cost multiplier ($ cost per $ of missed fraud)</t>
  </si>
  <si>
    <t xml:space="preserve">FP cost ratio (% of transaction amount)</t>
  </si>
  <si>
    <t xml:space="preserve">Real Sourced Amounts (from nb_financial_impact.py, real out-of-fold predictions)</t>
  </si>
  <si>
    <t xml:space="preserve">Scenario</t>
  </si>
  <si>
    <t xml:space="preserve">Sum of FN Amounts (EUR)</t>
  </si>
  <si>
    <t xml:space="preserve">Sum of FP Amounts (EUR)</t>
  </si>
  <si>
    <t xml:space="preserve">FN Count</t>
  </si>
  <si>
    <t xml:space="preserve">FP Count</t>
  </si>
  <si>
    <t xml:space="preserve">No model (flag nothing)</t>
  </si>
  <si>
    <t xml:space="preserve">Naive 0.5 threshold</t>
  </si>
  <si>
    <t xml:space="preserve">Live Total Cost by Scenario (formula-driven)</t>
  </si>
  <si>
    <t xml:space="preserve">Total Cost (EUR)</t>
  </si>
  <si>
    <t xml:space="preserve">FN Cost</t>
  </si>
  <si>
    <t xml:space="preserve">FP Cost</t>
  </si>
  <si>
    <t xml:space="preserve">Measured Savings</t>
  </si>
  <si>
    <t xml:space="preserve">Savings vs. no-model baseline</t>
  </si>
  <si>
    <t xml:space="preserve">Savings vs. naive 0.5 threshold</t>
  </si>
  <si>
    <t xml:space="preserve">GOVERNANCE, DRIFT &amp; GATE VALIDATION (REAL)</t>
  </si>
  <si>
    <t xml:space="preserve">Gate 1 — Structural Validation</t>
  </si>
  <si>
    <t xml:space="preserve">All 5 structural checks passed</t>
  </si>
  <si>
    <t xml:space="preserve">True</t>
  </si>
  <si>
    <t xml:space="preserve">Gate 2 — Stress Test (ASSUMPTION-labeled scenario)</t>
  </si>
  <si>
    <t xml:space="preserve">Volume multiplier (ASSUMPTION)</t>
  </si>
  <si>
    <t xml:space="preserve">Fraud-rate multiplier (ASSUMPTION)</t>
  </si>
  <si>
    <t xml:space="preserve">Base real fraud rate</t>
  </si>
  <si>
    <t xml:space="preserve">Projected fraud rate under scenario</t>
  </si>
  <si>
    <t xml:space="preserve">Projected transaction count</t>
  </si>
  <si>
    <t xml:space="preserve">Projected fraud loss (EUR)</t>
  </si>
  <si>
    <t xml:space="preserve">Feature Drift Monitoring (PSI)</t>
  </si>
  <si>
    <t xml:space="preserve">Early-window fraud rate</t>
  </si>
  <si>
    <t xml:space="preserve">Late-window fraud rate</t>
  </si>
  <si>
    <t xml:space="preserve">PSI (feature V14, early vs. late)</t>
  </si>
  <si>
    <t xml:space="preserve">Alert threshold (Tier 1)</t>
  </si>
  <si>
    <t xml:space="preserve">Alert status</t>
  </si>
  <si>
    <t xml:space="preserve">ADVERSARIAL ROBUSTNESS — REAL PERTURBATION TESTS</t>
  </si>
  <si>
    <t xml:space="preserve">Perturbation Type</t>
  </si>
  <si>
    <t xml:space="preserve">Caught Before</t>
  </si>
  <si>
    <t xml:space="preserve">Caught After</t>
  </si>
  <si>
    <t xml:space="preserve">Evasion Rate</t>
  </si>
  <si>
    <t xml:space="preserve">amount</t>
  </si>
  <si>
    <t xml:space="preserve">time</t>
  </si>
  <si>
    <t xml:space="preserve">Greedy Boundary-Search Attack</t>
  </si>
  <si>
    <t xml:space="preserve">Cases tested</t>
  </si>
  <si>
    <t xml:space="preserve">Evadable within 90% amount-cut budget</t>
  </si>
  <si>
    <t xml:space="preserve">Evasion rate</t>
  </si>
  <si>
    <t xml:space="preserve">Median amount change needed (%)</t>
  </si>
  <si>
    <t xml:space="preserve">Honest caveat: this evaluation was run in-sample (model scored on rows it was fit on), not on a strictly held-out fold. The realistic held-out recall ceiling is 82.52% (see Threshold &amp; Confusion Matrix sheet), not the 100% in-sample starting baseline used here.</t>
  </si>
  <si>
    <t xml:space="preserve">DEPLOYMENT SIGNAL — REAL API LATENCY</t>
  </si>
  <si>
    <t xml:space="preserve">Requests sent</t>
  </si>
  <si>
    <t xml:space="preserve">Decisions — FLAG</t>
  </si>
  <si>
    <t xml:space="preserve">Decisions — PASS</t>
  </si>
  <si>
    <t xml:space="preserve">Mean latency (ms)</t>
  </si>
  <si>
    <t xml:space="preserve">Median latency (ms)</t>
  </si>
  <si>
    <t xml:space="preserve">p95 latency (ms)</t>
  </si>
  <si>
    <t xml:space="preserve">p99 latency (ms)</t>
  </si>
  <si>
    <t xml:space="preserve">Max latency (ms)</t>
  </si>
  <si>
    <t xml:space="preserve">Scope disclosure: real, local, non-containerized, single-instance measurement inside one cloud sandbox — not a network-realistic production deployment. Genuine signal, not the full Phase 5 Definition of Done.</t>
  </si>
  <si>
    <t xml:space="preserve">ALL METRICS — CONSOLIDATED, FILTERABLE (C-SUITE DRILL-DOWN)</t>
  </si>
  <si>
    <t xml:space="preserve">Category</t>
  </si>
  <si>
    <t xml:space="preserve">Basis</t>
  </si>
  <si>
    <t xml:space="preserve">Dataset</t>
  </si>
  <si>
    <t xml:space="preserve">MEASURED</t>
  </si>
  <si>
    <t xml:space="preserve">0.1727%</t>
  </si>
  <si>
    <t xml:space="preserve">Imbalance</t>
  </si>
  <si>
    <t xml:space="preserve">Winning strategy</t>
  </si>
  <si>
    <t xml:space="preserve">threshold moving</t>
  </si>
  <si>
    <t xml:space="preserve">Stage A</t>
  </si>
  <si>
    <t xml:space="preserve">Champion candidate</t>
  </si>
  <si>
    <t xml:space="preserve">Runner-up candidate</t>
  </si>
  <si>
    <t xml:space="preserve">Stage B</t>
  </si>
  <si>
    <t xml:space="preserve">Champion mean CV PR-AUC</t>
  </si>
  <si>
    <t xml:space="preserve">Runner-up mean CV PR-AUC</t>
  </si>
  <si>
    <t xml:space="preserve">Validation</t>
  </si>
  <si>
    <t xml:space="preserve">Temporal-split PR-AUC</t>
  </si>
  <si>
    <t xml:space="preserve">Threshold</t>
  </si>
  <si>
    <t xml:space="preserve">69.64%</t>
  </si>
  <si>
    <t xml:space="preserve">82.52%</t>
  </si>
  <si>
    <t xml:space="preserve">Benchmark investigate flag</t>
  </si>
  <si>
    <t xml:space="preserve">FLAGGED</t>
  </si>
  <si>
    <t xml:space="preserve">Financial</t>
  </si>
  <si>
    <t xml:space="preserve">Savings vs. no model (EUR)</t>
  </si>
  <si>
    <t xml:space="preserve">Savings vs. naive 0.5 (EUR)</t>
  </si>
  <si>
    <t xml:space="preserve">Governance</t>
  </si>
  <si>
    <t xml:space="preserve">Gate 1 all checks passed</t>
  </si>
  <si>
    <t xml:space="preserve">Projected stress-scenario loss (EUR)</t>
  </si>
  <si>
    <t xml:space="preserve">ASSUMPTION-based scenario</t>
  </si>
  <si>
    <t xml:space="preserve">Drift</t>
  </si>
  <si>
    <t xml:space="preserve">PSI V14 (early vs. late)</t>
  </si>
  <si>
    <t xml:space="preserve">Robustness</t>
  </si>
  <si>
    <t xml:space="preserve">Boundary-search evasion rate</t>
  </si>
  <si>
    <t xml:space="preserve">0.61%</t>
  </si>
  <si>
    <t xml:space="preserve">MEASURED, in-sample caveat</t>
  </si>
  <si>
    <t xml:space="preserve">Deployment</t>
  </si>
  <si>
    <t xml:space="preserve">Mean API latency (ms)</t>
  </si>
  <si>
    <t xml:space="preserve">MEASURED, local proxy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</si>
</sst>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"/>
    <numFmt numFmtId="166" formatCode="0.00%"/>
    <numFmt numFmtId="167" formatCode="\€#,##0.00"/>
    <numFmt numFmtId="168" formatCode="0.0000%"/>
    <numFmt numFmtId="169" formatCode="0.00"/>
    <numFmt numFmtId="170" formatCode="0.0%"/>
    <numFmt numFmtId="171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b val="true"/>
      <sz val="14"/>
      <color rgb="FF2E74B5"/>
      <name val="Arial"/>
      <family val="0"/>
      <charset val="1"/>
    </font>
    <font>
      <i val="true"/>
      <sz val="12"/>
      <color rgb="FF7F8C8D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7F8C8D"/>
      <name val="Arial"/>
      <family val="0"/>
      <charset val="1"/>
    </font>
    <font>
      <sz val="10"/>
      <name val="Arial"/>
      <family val="2"/>
    </font>
    <font>
      <b val="true"/>
      <sz val="11"/>
      <color rgb="FFC0392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E4"/>
      </patternFill>
    </fill>
    <fill>
      <patternFill patternType="solid">
        <fgColor rgb="FFFCE4E4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8C8D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C0392B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dversarialSensitivity" displayName="AdversarialSensitivity" ref="B4:F17" headerRowCount="1" totalsRowCount="0" totalsRowShown="0">
  <autoFilter ref="B4:F17"/>
  <tableColumns count="5">
    <tableColumn id="1" name="Perturbation Type"/>
    <tableColumn id="2" name="Value"/>
    <tableColumn id="3" name="Caught Before"/>
    <tableColumn id="4" name="Caught After"/>
    <tableColumn id="5" name="Evasion Rate"/>
  </tableColumns>
</table>
</file>

<file path=xl/tables/table2.xml><?xml version="1.0" encoding="utf-8"?>
<table xmlns="http://schemas.openxmlformats.org/spreadsheetml/2006/main" id="2" name="AllMetrics" displayName="AllMetrics" ref="B4:E24" headerRowCount="1" totalsRowCount="0" totalsRowShown="0">
  <autoFilter ref="B4:E24"/>
  <tableColumns count="4">
    <tableColumn id="1" name="Category"/>
    <tableColumn id="2" name="Metric"/>
    <tableColumn id="3" name="Value"/>
    <tableColumn id="4" name="Basis"/>
  </tableColumns>
</table>
</file>

<file path=xl/tables/table3.xml><?xml version="1.0" encoding="utf-8"?>
<table xmlns="http://schemas.openxmlformats.org/spreadsheetml/2006/main" id="3" name="FinancialInputs" displayName="FinancialInputs" ref="B10:F13" headerRowCount="1" totalsRowCount="0" totalsRowShown="0">
  <autoFilter ref="B10:F13"/>
  <tableColumns count="5">
    <tableColumn id="1" name="Scenario"/>
    <tableColumn id="2" name="Sum of FN Amounts (EUR)"/>
    <tableColumn id="3" name="Sum of FP Amounts (EUR)"/>
    <tableColumn id="4" name="FN Count"/>
    <tableColumn id="5" name="FP Count"/>
  </tableColumns>
</table>
</file>

<file path=xl/tables/table4.xml><?xml version="1.0" encoding="utf-8"?>
<table xmlns="http://schemas.openxmlformats.org/spreadsheetml/2006/main" id="4" name="StageA" displayName="StageA" ref="B4:E9" headerRowCount="1" totalsRowCount="0" totalsRowShown="0">
  <autoFilter ref="B4:E9"/>
  <tableColumns count="4">
    <tableColumn id="1" name="Rank"/>
    <tableColumn id="2" name="Model"/>
    <tableColumn id="3" name="Validation PR-AUC"/>
    <tableColumn id="4" name="Advances to Stage B?"/>
  </tableColumns>
</table>
</file>

<file path=xl/tables/table5.xml><?xml version="1.0" encoding="utf-8"?>
<table xmlns="http://schemas.openxmlformats.org/spreadsheetml/2006/main" id="5" name="StageBFolds" displayName="StageBFolds" ref="B4:D9" headerRowCount="1" totalsRowCount="0" totalsRowShown="0">
  <autoFilter ref="B4:D9"/>
  <tableColumns count="3">
    <tableColumn id="1" name="Fold"/>
    <tableColumn id="2" name="CatBoost PR-AUC"/>
    <tableColumn id="3" name="RandomForest PR-AUC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8" min="3" style="0" width="14"/>
  </cols>
  <sheetData>
    <row r="2" customFormat="false" ht="24.45" hidden="false" customHeight="false" outlineLevel="0" collapsed="false">
      <c r="B2" s="1" t="s">
        <v>0</v>
      </c>
    </row>
    <row r="3" customFormat="false" ht="17.3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45" hidden="false" customHeight="true" outlineLevel="0" collapsed="false">
      <c r="B7" s="5" t="s">
        <v>4</v>
      </c>
      <c r="C7" s="5"/>
      <c r="D7" s="5"/>
      <c r="E7" s="5"/>
      <c r="F7" s="5"/>
      <c r="G7" s="5"/>
      <c r="H7" s="5"/>
    </row>
    <row r="9" customFormat="false" ht="15" hidden="false" customHeight="false" outlineLevel="0" collapsed="false">
      <c r="B9" s="4" t="s">
        <v>5</v>
      </c>
    </row>
    <row r="10" customFormat="false" ht="15" hidden="false" customHeight="true" outlineLevel="0" collapsed="false">
      <c r="B10" s="6" t="s">
        <v>6</v>
      </c>
      <c r="C10" s="7" t="s">
        <v>7</v>
      </c>
      <c r="D10" s="7"/>
      <c r="E10" s="7"/>
      <c r="F10" s="7"/>
      <c r="G10" s="7"/>
      <c r="H10" s="7"/>
    </row>
    <row r="11" customFormat="false" ht="15" hidden="false" customHeight="true" outlineLevel="0" collapsed="false">
      <c r="B11" s="8" t="s">
        <v>8</v>
      </c>
      <c r="C11" s="7" t="s">
        <v>9</v>
      </c>
      <c r="D11" s="7"/>
      <c r="E11" s="7"/>
      <c r="F11" s="7"/>
      <c r="G11" s="7"/>
      <c r="H11" s="7"/>
    </row>
    <row r="12" customFormat="false" ht="15" hidden="false" customHeight="true" outlineLevel="0" collapsed="false">
      <c r="B12" s="9" t="s">
        <v>10</v>
      </c>
      <c r="C12" s="7" t="s">
        <v>11</v>
      </c>
      <c r="D12" s="7"/>
      <c r="E12" s="7"/>
      <c r="F12" s="7"/>
      <c r="G12" s="7"/>
      <c r="H12" s="7"/>
    </row>
    <row r="13" customFormat="false" ht="15" hidden="false" customHeight="true" outlineLevel="0" collapsed="false">
      <c r="B13" s="10" t="s">
        <v>12</v>
      </c>
      <c r="C13" s="7" t="s">
        <v>13</v>
      </c>
      <c r="D13" s="7"/>
      <c r="E13" s="7"/>
      <c r="F13" s="7"/>
      <c r="G13" s="7"/>
      <c r="H13" s="7"/>
    </row>
    <row r="14" customFormat="false" ht="15" hidden="false" customHeight="true" outlineLevel="0" collapsed="false">
      <c r="B14" s="11" t="s">
        <v>14</v>
      </c>
      <c r="C14" s="7" t="s">
        <v>15</v>
      </c>
      <c r="D14" s="7"/>
      <c r="E14" s="7"/>
      <c r="F14" s="7"/>
      <c r="G14" s="7"/>
      <c r="H14" s="7"/>
    </row>
    <row r="16" customFormat="false" ht="15" hidden="false" customHeight="false" outlineLevel="0" collapsed="false">
      <c r="B16" s="4" t="s">
        <v>16</v>
      </c>
    </row>
    <row r="17" customFormat="false" ht="90" hidden="false" customHeight="true" outlineLevel="0" collapsed="false">
      <c r="B17" s="5" t="s">
        <v>17</v>
      </c>
      <c r="C17" s="5"/>
      <c r="D17" s="5"/>
      <c r="E17" s="5"/>
      <c r="F17" s="5"/>
      <c r="G17" s="5"/>
      <c r="H17" s="5"/>
    </row>
    <row r="19" customFormat="false" ht="15" hidden="false" customHeight="false" outlineLevel="0" collapsed="false">
      <c r="B19" s="4" t="s">
        <v>18</v>
      </c>
    </row>
    <row r="20" customFormat="false" ht="15" hidden="false" customHeight="false" outlineLevel="0" collapsed="false">
      <c r="B20" s="12" t="s">
        <v>19</v>
      </c>
      <c r="C20" s="13" t="s">
        <v>20</v>
      </c>
      <c r="D20" s="13"/>
      <c r="E20" s="13"/>
      <c r="F20" s="13"/>
      <c r="G20" s="13"/>
      <c r="H20" s="13"/>
    </row>
    <row r="21" customFormat="false" ht="15" hidden="false" customHeight="false" outlineLevel="0" collapsed="false">
      <c r="B21" s="12" t="s">
        <v>21</v>
      </c>
      <c r="C21" s="13" t="s">
        <v>22</v>
      </c>
      <c r="D21" s="13"/>
      <c r="E21" s="13"/>
      <c r="F21" s="13"/>
      <c r="G21" s="13"/>
      <c r="H21" s="13"/>
    </row>
    <row r="22" customFormat="false" ht="15" hidden="false" customHeight="false" outlineLevel="0" collapsed="false">
      <c r="B22" s="12" t="s">
        <v>23</v>
      </c>
      <c r="C22" s="13" t="s">
        <v>24</v>
      </c>
      <c r="D22" s="13"/>
      <c r="E22" s="13"/>
      <c r="F22" s="13"/>
      <c r="G22" s="13"/>
      <c r="H22" s="13"/>
    </row>
    <row r="23" customFormat="false" ht="15" hidden="false" customHeight="false" outlineLevel="0" collapsed="false">
      <c r="B23" s="12" t="s">
        <v>25</v>
      </c>
      <c r="C23" s="13" t="s">
        <v>26</v>
      </c>
      <c r="D23" s="13"/>
      <c r="E23" s="13"/>
      <c r="F23" s="13"/>
      <c r="G23" s="13"/>
      <c r="H23" s="13"/>
    </row>
    <row r="24" customFormat="false" ht="15" hidden="false" customHeight="false" outlineLevel="0" collapsed="false">
      <c r="B24" s="12" t="s">
        <v>27</v>
      </c>
      <c r="C24" s="13" t="s">
        <v>28</v>
      </c>
      <c r="D24" s="13"/>
      <c r="E24" s="13"/>
      <c r="F24" s="13"/>
      <c r="G24" s="13"/>
      <c r="H24" s="13"/>
    </row>
    <row r="25" customFormat="false" ht="15" hidden="false" customHeight="false" outlineLevel="0" collapsed="false">
      <c r="B25" s="12" t="s">
        <v>29</v>
      </c>
      <c r="C25" s="13" t="s">
        <v>30</v>
      </c>
      <c r="D25" s="13"/>
      <c r="E25" s="13"/>
      <c r="F25" s="13"/>
      <c r="G25" s="13"/>
      <c r="H25" s="13"/>
    </row>
    <row r="26" customFormat="false" ht="15" hidden="false" customHeight="false" outlineLevel="0" collapsed="false">
      <c r="B26" s="12" t="s">
        <v>31</v>
      </c>
      <c r="C26" s="13" t="s">
        <v>32</v>
      </c>
      <c r="D26" s="13"/>
      <c r="E26" s="13"/>
      <c r="F26" s="13"/>
      <c r="G26" s="13"/>
      <c r="H26" s="13"/>
    </row>
    <row r="27" customFormat="false" ht="15" hidden="false" customHeight="false" outlineLevel="0" collapsed="false">
      <c r="B27" s="12" t="s">
        <v>33</v>
      </c>
      <c r="C27" s="13" t="s">
        <v>34</v>
      </c>
      <c r="D27" s="13"/>
      <c r="E27" s="13"/>
      <c r="F27" s="13"/>
      <c r="G27" s="13"/>
      <c r="H27" s="13"/>
    </row>
    <row r="28" customFormat="false" ht="15" hidden="false" customHeight="false" outlineLevel="0" collapsed="false">
      <c r="B28" s="12" t="s">
        <v>35</v>
      </c>
      <c r="C28" s="13" t="s">
        <v>36</v>
      </c>
      <c r="D28" s="13"/>
      <c r="E28" s="13"/>
      <c r="F28" s="13"/>
      <c r="G28" s="13"/>
      <c r="H28" s="13"/>
    </row>
    <row r="29" customFormat="false" ht="15" hidden="false" customHeight="false" outlineLevel="0" collapsed="false">
      <c r="B29" s="12" t="s">
        <v>37</v>
      </c>
      <c r="C29" s="13" t="s">
        <v>38</v>
      </c>
      <c r="D29" s="13"/>
      <c r="E29" s="13"/>
      <c r="F29" s="13"/>
      <c r="G29" s="13"/>
      <c r="H29" s="13"/>
    </row>
    <row r="30" customFormat="false" ht="15" hidden="false" customHeight="false" outlineLevel="0" collapsed="false">
      <c r="B30" s="12" t="s">
        <v>39</v>
      </c>
      <c r="C30" s="13" t="s">
        <v>40</v>
      </c>
      <c r="D30" s="13"/>
      <c r="E30" s="13"/>
      <c r="F30" s="13"/>
      <c r="G30" s="13"/>
      <c r="H30" s="13"/>
    </row>
    <row r="31" customFormat="false" ht="15" hidden="false" customHeight="false" outlineLevel="0" collapsed="false">
      <c r="B31" s="12" t="s">
        <v>41</v>
      </c>
      <c r="C31" s="13" t="s">
        <v>42</v>
      </c>
      <c r="D31" s="13"/>
      <c r="E31" s="13"/>
      <c r="F31" s="13"/>
      <c r="G31" s="13"/>
      <c r="H31" s="13"/>
    </row>
  </sheetData>
  <mergeCells count="19">
    <mergeCell ref="B7:H7"/>
    <mergeCell ref="C10:H10"/>
    <mergeCell ref="C11:H11"/>
    <mergeCell ref="C12:H12"/>
    <mergeCell ref="C13:H13"/>
    <mergeCell ref="C14:H14"/>
    <mergeCell ref="B17:H17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3"/>
    <col collapsed="false" customWidth="true" hidden="false" outlineLevel="0" max="5" min="4" style="0" width="22"/>
    <col collapsed="false" customWidth="true" hidden="false" outlineLevel="0" max="7" min="6" style="0" width="16"/>
  </cols>
  <sheetData>
    <row r="2" customFormat="false" ht="24" hidden="false" customHeight="true" outlineLevel="0" collapsed="false">
      <c r="B2" s="14" t="s">
        <v>43</v>
      </c>
      <c r="C2" s="15"/>
      <c r="D2" s="15"/>
      <c r="E2" s="15"/>
      <c r="F2" s="15"/>
    </row>
    <row r="4" customFormat="false" ht="15" hidden="false" customHeight="true" outlineLevel="0" collapsed="false">
      <c r="B4" s="16" t="s">
        <v>44</v>
      </c>
      <c r="D4" s="17" t="s">
        <v>45</v>
      </c>
      <c r="E4" s="17"/>
    </row>
    <row r="5" customFormat="false" ht="15" hidden="false" customHeight="false" outlineLevel="0" collapsed="false">
      <c r="B5" s="16" t="s">
        <v>46</v>
      </c>
      <c r="D5" s="18" t="n">
        <f aca="false">'Stage B CV'!C12</f>
        <v>0.848182845860893</v>
      </c>
      <c r="E5" s="18"/>
    </row>
    <row r="6" customFormat="false" ht="15" hidden="false" customHeight="false" outlineLevel="0" collapsed="false">
      <c r="B6" s="16" t="s">
        <v>47</v>
      </c>
      <c r="D6" s="18" t="n">
        <f aca="false">'Temporal Validation'!C6</f>
        <v>0.769196998786682</v>
      </c>
      <c r="E6" s="18"/>
    </row>
    <row r="7" customFormat="false" ht="15" hidden="false" customHeight="false" outlineLevel="0" collapsed="false">
      <c r="B7" s="16" t="s">
        <v>48</v>
      </c>
      <c r="D7" s="18" t="n">
        <f aca="false">'Threshold &amp; Confusion Matrix'!C5</f>
        <v>0.044307249033091</v>
      </c>
      <c r="E7" s="18"/>
    </row>
    <row r="8" customFormat="false" ht="15" hidden="false" customHeight="false" outlineLevel="0" collapsed="false">
      <c r="B8" s="16" t="s">
        <v>49</v>
      </c>
      <c r="D8" s="19" t="n">
        <f aca="false">'Threshold &amp; Confusion Matrix'!C9</f>
        <v>0.696397941680961</v>
      </c>
      <c r="E8" s="19"/>
    </row>
    <row r="9" customFormat="false" ht="15" hidden="false" customHeight="false" outlineLevel="0" collapsed="false">
      <c r="B9" s="16" t="s">
        <v>50</v>
      </c>
      <c r="D9" s="19" t="n">
        <f aca="false">'Threshold &amp; Confusion Matrix'!C10</f>
        <v>0.82520325203252</v>
      </c>
      <c r="E9" s="19"/>
    </row>
    <row r="10" customFormat="false" ht="15" hidden="false" customHeight="false" outlineLevel="0" collapsed="false">
      <c r="B10" s="16" t="s">
        <v>51</v>
      </c>
      <c r="D10" s="20" t="n">
        <f aca="false">'Financial Impact'!C23</f>
        <v>199450.75646</v>
      </c>
      <c r="E10" s="20"/>
    </row>
    <row r="11" customFormat="false" ht="15" hidden="false" customHeight="false" outlineLevel="0" collapsed="false">
      <c r="B11" s="16" t="s">
        <v>52</v>
      </c>
      <c r="D11" s="20" t="n">
        <f aca="false">'Financial Impact'!C24</f>
        <v>7413.26822000001</v>
      </c>
      <c r="E11" s="20"/>
    </row>
    <row r="13" customFormat="false" ht="15" hidden="false" customHeight="false" outlineLevel="0" collapsed="false">
      <c r="B13" s="4" t="s">
        <v>53</v>
      </c>
    </row>
    <row r="14" customFormat="false" ht="27.75" hidden="false" customHeight="true" outlineLevel="0" collapsed="false">
      <c r="B14" s="5" t="s">
        <v>54</v>
      </c>
      <c r="C14" s="5"/>
      <c r="D14" s="5"/>
      <c r="E14" s="5"/>
      <c r="F14" s="5"/>
      <c r="G14" s="5"/>
    </row>
    <row r="15" customFormat="false" ht="27.75" hidden="false" customHeight="true" outlineLevel="0" collapsed="false">
      <c r="B15" s="5" t="s">
        <v>55</v>
      </c>
      <c r="C15" s="5"/>
      <c r="D15" s="5"/>
      <c r="E15" s="5"/>
      <c r="F15" s="5"/>
      <c r="G15" s="5"/>
    </row>
    <row r="16" customFormat="false" ht="27.75" hidden="false" customHeight="true" outlineLevel="0" collapsed="false">
      <c r="B16" s="5" t="s">
        <v>56</v>
      </c>
      <c r="C16" s="5"/>
      <c r="D16" s="5"/>
      <c r="E16" s="5"/>
      <c r="F16" s="5"/>
      <c r="G16" s="5"/>
    </row>
    <row r="17" customFormat="false" ht="27.75" hidden="false" customHeight="true" outlineLevel="0" collapsed="false">
      <c r="B17" s="5" t="s">
        <v>57</v>
      </c>
      <c r="C17" s="5"/>
      <c r="D17" s="5"/>
      <c r="E17" s="5"/>
      <c r="F17" s="5"/>
      <c r="G17" s="5"/>
    </row>
    <row r="18" customFormat="false" ht="27.75" hidden="false" customHeight="true" outlineLevel="0" collapsed="false">
      <c r="B18" s="5" t="s">
        <v>58</v>
      </c>
      <c r="C18" s="5"/>
      <c r="D18" s="5"/>
      <c r="E18" s="5"/>
      <c r="F18" s="5"/>
      <c r="G18" s="5"/>
    </row>
  </sheetData>
  <mergeCells count="13">
    <mergeCell ref="D4:E4"/>
    <mergeCell ref="D5:E5"/>
    <mergeCell ref="D6:E6"/>
    <mergeCell ref="D7:E7"/>
    <mergeCell ref="D8:E8"/>
    <mergeCell ref="D9:E9"/>
    <mergeCell ref="D10:E10"/>
    <mergeCell ref="D11:E11"/>
    <mergeCell ref="B14:G14"/>
    <mergeCell ref="B15:G15"/>
    <mergeCell ref="B16:G16"/>
    <mergeCell ref="B17:G17"/>
    <mergeCell ref="B18:G1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6"/>
  </cols>
  <sheetData>
    <row r="2" customFormat="false" ht="32.8" hidden="false" customHeight="false" outlineLevel="0" collapsed="false">
      <c r="B2" s="14" t="s">
        <v>59</v>
      </c>
      <c r="C2" s="15"/>
    </row>
    <row r="4" customFormat="false" ht="15" hidden="false" customHeight="false" outlineLevel="0" collapsed="false">
      <c r="B4" s="21" t="s">
        <v>60</v>
      </c>
      <c r="C4" s="21" t="s">
        <v>61</v>
      </c>
    </row>
    <row r="5" customFormat="false" ht="15" hidden="false" customHeight="false" outlineLevel="0" collapsed="false">
      <c r="B5" s="22" t="s">
        <v>62</v>
      </c>
      <c r="C5" s="23" t="n">
        <v>284807</v>
      </c>
    </row>
    <row r="6" customFormat="false" ht="15" hidden="false" customHeight="false" outlineLevel="0" collapsed="false">
      <c r="B6" s="7" t="s">
        <v>63</v>
      </c>
      <c r="C6" s="17" t="n">
        <v>32</v>
      </c>
    </row>
    <row r="7" customFormat="false" ht="15" hidden="false" customHeight="false" outlineLevel="0" collapsed="false">
      <c r="B7" s="22" t="s">
        <v>64</v>
      </c>
      <c r="C7" s="23" t="n">
        <v>492</v>
      </c>
    </row>
    <row r="8" customFormat="false" ht="15" hidden="false" customHeight="false" outlineLevel="0" collapsed="false">
      <c r="B8" s="7" t="s">
        <v>65</v>
      </c>
      <c r="C8" s="24" t="n">
        <v>0.00172748563062003</v>
      </c>
    </row>
    <row r="9" customFormat="false" ht="15" hidden="false" customHeight="false" outlineLevel="0" collapsed="false">
      <c r="B9" s="22" t="s">
        <v>66</v>
      </c>
      <c r="C9" s="23" t="n">
        <v>1081</v>
      </c>
    </row>
    <row r="10" customFormat="false" ht="15" hidden="false" customHeight="false" outlineLevel="0" collapsed="false">
      <c r="B10" s="7" t="s">
        <v>67</v>
      </c>
      <c r="C10" s="17" t="n">
        <v>1822</v>
      </c>
    </row>
    <row r="11" customFormat="false" ht="15" hidden="false" customHeight="false" outlineLevel="0" collapsed="false">
      <c r="B11" s="22" t="s">
        <v>68</v>
      </c>
      <c r="C11" s="23" t="n">
        <v>32</v>
      </c>
    </row>
    <row r="13" customFormat="false" ht="45" hidden="false" customHeight="true" outlineLevel="0" collapsed="false">
      <c r="B13" s="25" t="s">
        <v>69</v>
      </c>
      <c r="C13" s="25"/>
      <c r="D13" s="25"/>
      <c r="E13" s="25"/>
      <c r="F13" s="25"/>
    </row>
  </sheetData>
  <mergeCells count="1">
    <mergeCell ref="B13:F1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4" min="3" style="0" width="16"/>
  </cols>
  <sheetData>
    <row r="2" customFormat="false" ht="79.85" hidden="false" customHeight="false" outlineLevel="0" collapsed="false">
      <c r="B2" s="14" t="s">
        <v>70</v>
      </c>
      <c r="C2" s="15"/>
      <c r="D2" s="15"/>
    </row>
    <row r="4" customFormat="false" ht="15" hidden="false" customHeight="false" outlineLevel="0" collapsed="false">
      <c r="B4" s="21" t="s">
        <v>71</v>
      </c>
      <c r="C4" s="21" t="s">
        <v>72</v>
      </c>
      <c r="D4" s="21" t="s">
        <v>73</v>
      </c>
    </row>
    <row r="5" customFormat="false" ht="15" hidden="false" customHeight="false" outlineLevel="0" collapsed="false">
      <c r="B5" s="22" t="s">
        <v>74</v>
      </c>
      <c r="C5" s="26" t="n">
        <v>0.832679936983853</v>
      </c>
      <c r="D5" s="26" t="n">
        <v>0.0277526488733523</v>
      </c>
    </row>
    <row r="6" customFormat="false" ht="15" hidden="false" customHeight="false" outlineLevel="0" collapsed="false">
      <c r="B6" s="27" t="s">
        <v>75</v>
      </c>
      <c r="C6" s="28" t="n">
        <v>0.844821381200666</v>
      </c>
      <c r="D6" s="28" t="n">
        <v>0.0217924110404166</v>
      </c>
    </row>
    <row r="7" customFormat="false" ht="15" hidden="false" customHeight="false" outlineLevel="0" collapsed="false">
      <c r="B7" s="22" t="s">
        <v>76</v>
      </c>
      <c r="C7" s="26" t="n">
        <v>0.829435581961978</v>
      </c>
      <c r="D7" s="26" t="n">
        <v>0.026831320629968</v>
      </c>
    </row>
    <row r="9" customFormat="false" ht="15" hidden="false" customHeight="false" outlineLevel="0" collapsed="false">
      <c r="B9" s="12" t="s">
        <v>77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22"/>
  </cols>
  <sheetData>
    <row r="2" customFormat="false" ht="111.15" hidden="false" customHeight="false" outlineLevel="0" collapsed="false">
      <c r="B2" s="14" t="s">
        <v>78</v>
      </c>
      <c r="C2" s="15"/>
      <c r="D2" s="15"/>
    </row>
    <row r="4" customFormat="false" ht="15" hidden="false" customHeight="false" outlineLevel="0" collapsed="false">
      <c r="B4" s="21" t="s">
        <v>79</v>
      </c>
      <c r="C4" s="21" t="s">
        <v>80</v>
      </c>
      <c r="D4" s="21" t="s">
        <v>81</v>
      </c>
      <c r="E4" s="21" t="s">
        <v>82</v>
      </c>
    </row>
    <row r="5" customFormat="false" ht="15" hidden="false" customHeight="false" outlineLevel="0" collapsed="false">
      <c r="B5" s="22" t="n">
        <v>1</v>
      </c>
      <c r="C5" s="29" t="s">
        <v>45</v>
      </c>
      <c r="D5" s="26" t="n">
        <v>0.871288519916306</v>
      </c>
      <c r="E5" s="29" t="s">
        <v>83</v>
      </c>
    </row>
    <row r="6" customFormat="false" ht="15" hidden="false" customHeight="false" outlineLevel="0" collapsed="false">
      <c r="B6" s="7" t="n">
        <v>2</v>
      </c>
      <c r="C6" s="30" t="s">
        <v>84</v>
      </c>
      <c r="D6" s="31" t="n">
        <v>0.87013985477995</v>
      </c>
      <c r="E6" s="30" t="s">
        <v>83</v>
      </c>
    </row>
    <row r="7" customFormat="false" ht="15" hidden="false" customHeight="false" outlineLevel="0" collapsed="false">
      <c r="B7" s="22" t="n">
        <v>3</v>
      </c>
      <c r="C7" s="29" t="s">
        <v>85</v>
      </c>
      <c r="D7" s="26" t="n">
        <v>0.827267662016174</v>
      </c>
      <c r="E7" s="29" t="s">
        <v>86</v>
      </c>
    </row>
    <row r="8" customFormat="false" ht="15" hidden="false" customHeight="false" outlineLevel="0" collapsed="false">
      <c r="B8" s="7" t="n">
        <v>4</v>
      </c>
      <c r="C8" s="30" t="s">
        <v>87</v>
      </c>
      <c r="D8" s="31" t="n">
        <v>0.789442522384588</v>
      </c>
      <c r="E8" s="30" t="s">
        <v>86</v>
      </c>
    </row>
    <row r="9" customFormat="false" ht="15" hidden="false" customHeight="false" outlineLevel="0" collapsed="false">
      <c r="B9" s="22" t="n">
        <v>5</v>
      </c>
      <c r="C9" s="29" t="s">
        <v>88</v>
      </c>
      <c r="D9" s="26" t="n">
        <v>0.358360806813732</v>
      </c>
      <c r="E9" s="29" t="s">
        <v>86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8"/>
  </cols>
  <sheetData>
    <row r="2" customFormat="false" ht="32.8" hidden="false" customHeight="false" outlineLevel="0" collapsed="false">
      <c r="B2" s="14" t="s">
        <v>89</v>
      </c>
      <c r="C2" s="15"/>
      <c r="D2" s="15"/>
    </row>
    <row r="4" customFormat="false" ht="23.85" hidden="false" customHeight="false" outlineLevel="0" collapsed="false">
      <c r="B4" s="21" t="s">
        <v>90</v>
      </c>
      <c r="C4" s="21" t="s">
        <v>91</v>
      </c>
      <c r="D4" s="21" t="s">
        <v>92</v>
      </c>
    </row>
    <row r="5" customFormat="false" ht="15" hidden="false" customHeight="false" outlineLevel="0" collapsed="false">
      <c r="B5" s="22" t="s">
        <v>93</v>
      </c>
      <c r="C5" s="26" t="n">
        <v>0.835081183061407</v>
      </c>
      <c r="D5" s="26" t="n">
        <v>0.824965700502998</v>
      </c>
    </row>
    <row r="6" customFormat="false" ht="15" hidden="false" customHeight="false" outlineLevel="0" collapsed="false">
      <c r="B6" s="7" t="s">
        <v>94</v>
      </c>
      <c r="C6" s="31" t="n">
        <v>0.882158949178139</v>
      </c>
      <c r="D6" s="31" t="n">
        <v>0.874710700153276</v>
      </c>
    </row>
    <row r="7" customFormat="false" ht="15" hidden="false" customHeight="false" outlineLevel="0" collapsed="false">
      <c r="B7" s="22" t="s">
        <v>95</v>
      </c>
      <c r="C7" s="26" t="n">
        <v>0.8499990353458</v>
      </c>
      <c r="D7" s="26" t="n">
        <v>0.862528782624257</v>
      </c>
    </row>
    <row r="8" customFormat="false" ht="15" hidden="false" customHeight="false" outlineLevel="0" collapsed="false">
      <c r="B8" s="7" t="s">
        <v>96</v>
      </c>
      <c r="C8" s="31" t="n">
        <v>0.832246568558294</v>
      </c>
      <c r="D8" s="31" t="n">
        <v>0.844889866794978</v>
      </c>
    </row>
    <row r="9" customFormat="false" ht="15" hidden="false" customHeight="false" outlineLevel="0" collapsed="false">
      <c r="B9" s="22" t="s">
        <v>97</v>
      </c>
      <c r="C9" s="26" t="n">
        <v>0.841428493160822</v>
      </c>
      <c r="D9" s="26" t="n">
        <v>0.817011855927822</v>
      </c>
    </row>
    <row r="11" customFormat="false" ht="15" hidden="false" customHeight="false" outlineLevel="0" collapsed="false">
      <c r="B11" s="4" t="s">
        <v>98</v>
      </c>
    </row>
    <row r="12" customFormat="false" ht="15" hidden="false" customHeight="false" outlineLevel="0" collapsed="false">
      <c r="B12" s="7" t="s">
        <v>72</v>
      </c>
      <c r="C12" s="32" t="n">
        <f aca="false">AVERAGE(C5:C9)</f>
        <v>0.848182845860893</v>
      </c>
      <c r="D12" s="32" t="n">
        <f aca="false">AVERAGE(D5:D9)</f>
        <v>0.844821381200666</v>
      </c>
    </row>
    <row r="13" customFormat="false" ht="15" hidden="false" customHeight="false" outlineLevel="0" collapsed="false">
      <c r="B13" s="7" t="s">
        <v>99</v>
      </c>
      <c r="C13" s="32" t="n">
        <f aca="false">STDEV(C5:C9)</f>
        <v>0.0201799028964649</v>
      </c>
      <c r="D13" s="32" t="n">
        <f aca="false">STDEV(D5:D9)</f>
        <v>0.0243646562399942</v>
      </c>
    </row>
    <row r="14" customFormat="false" ht="23.85" hidden="false" customHeight="false" outlineLevel="0" collapsed="false">
      <c r="B14" s="7" t="s">
        <v>100</v>
      </c>
      <c r="C14" s="31" t="n">
        <v>0.816198744238773</v>
      </c>
      <c r="D14" s="31" t="n">
        <v>0.814951645853681</v>
      </c>
    </row>
    <row r="15" customFormat="false" ht="23.85" hidden="false" customHeight="false" outlineLevel="0" collapsed="false">
      <c r="B15" s="7" t="s">
        <v>101</v>
      </c>
      <c r="C15" s="31" t="n">
        <v>0.878377301794881</v>
      </c>
      <c r="D15" s="31" t="n">
        <v>0.87385972830701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</cols>
  <sheetData>
    <row r="2" customFormat="false" ht="32.8" hidden="false" customHeight="false" outlineLevel="0" collapsed="false">
      <c r="B2" s="14" t="s">
        <v>102</v>
      </c>
      <c r="C2" s="15"/>
    </row>
    <row r="4" customFormat="false" ht="15" hidden="false" customHeight="false" outlineLevel="0" collapsed="false">
      <c r="B4" s="21" t="s">
        <v>103</v>
      </c>
      <c r="C4" s="21" t="s">
        <v>104</v>
      </c>
    </row>
    <row r="5" customFormat="false" ht="15" hidden="false" customHeight="false" outlineLevel="0" collapsed="false">
      <c r="B5" s="7" t="s">
        <v>105</v>
      </c>
      <c r="C5" s="18" t="n">
        <f aca="false">'Stage B CV'!C12</f>
        <v>0.848182845860893</v>
      </c>
    </row>
    <row r="6" customFormat="false" ht="15" hidden="false" customHeight="false" outlineLevel="0" collapsed="false">
      <c r="B6" s="7" t="s">
        <v>106</v>
      </c>
      <c r="C6" s="31" t="n">
        <v>0.769196998786682</v>
      </c>
    </row>
    <row r="8" customFormat="false" ht="15" hidden="false" customHeight="false" outlineLevel="0" collapsed="false">
      <c r="B8" s="7" t="s">
        <v>107</v>
      </c>
      <c r="C8" s="32" t="n">
        <f aca="false">C5-C6</f>
        <v>0.0789858470742103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8"/>
  </cols>
  <sheetData>
    <row r="2" customFormat="false" ht="64.15" hidden="false" customHeight="false" outlineLevel="0" collapsed="false">
      <c r="B2" s="14" t="s">
        <v>108</v>
      </c>
      <c r="C2" s="15"/>
      <c r="D2" s="15"/>
    </row>
    <row r="4" customFormat="false" ht="15" hidden="false" customHeight="false" outlineLevel="0" collapsed="false">
      <c r="B4" s="21" t="s">
        <v>109</v>
      </c>
      <c r="C4" s="21" t="s">
        <v>61</v>
      </c>
    </row>
    <row r="5" customFormat="false" ht="15" hidden="false" customHeight="false" outlineLevel="0" collapsed="false">
      <c r="B5" s="7" t="s">
        <v>110</v>
      </c>
      <c r="C5" s="31" t="n">
        <v>0.044307249033091</v>
      </c>
    </row>
    <row r="6" customFormat="false" ht="15" hidden="false" customHeight="false" outlineLevel="0" collapsed="false">
      <c r="B6" s="7" t="s">
        <v>111</v>
      </c>
      <c r="C6" s="33" t="n">
        <v>65713.59124</v>
      </c>
    </row>
    <row r="7" customFormat="false" ht="15" hidden="false" customHeight="false" outlineLevel="0" collapsed="false">
      <c r="B7" s="7" t="s">
        <v>112</v>
      </c>
      <c r="C7" s="33" t="n">
        <v>61408.7208</v>
      </c>
    </row>
    <row r="8" customFormat="false" ht="15" hidden="false" customHeight="false" outlineLevel="0" collapsed="false">
      <c r="B8" s="7" t="s">
        <v>113</v>
      </c>
      <c r="C8" s="33" t="n">
        <v>4304.87044</v>
      </c>
    </row>
    <row r="9" customFormat="false" ht="15" hidden="false" customHeight="false" outlineLevel="0" collapsed="false">
      <c r="B9" s="7" t="s">
        <v>114</v>
      </c>
      <c r="C9" s="34" t="n">
        <v>0.696397941680961</v>
      </c>
    </row>
    <row r="10" customFormat="false" ht="15" hidden="false" customHeight="false" outlineLevel="0" collapsed="false">
      <c r="B10" s="7" t="s">
        <v>115</v>
      </c>
      <c r="C10" s="34" t="n">
        <v>0.82520325203252</v>
      </c>
    </row>
    <row r="12" customFormat="false" ht="15" hidden="false" customHeight="false" outlineLevel="0" collapsed="false">
      <c r="B12" s="4" t="s">
        <v>116</v>
      </c>
    </row>
    <row r="13" customFormat="false" ht="15" hidden="false" customHeight="false" outlineLevel="0" collapsed="false">
      <c r="B13" s="21"/>
      <c r="C13" s="21" t="s">
        <v>117</v>
      </c>
      <c r="D13" s="21" t="s">
        <v>118</v>
      </c>
    </row>
    <row r="14" customFormat="false" ht="15" hidden="false" customHeight="false" outlineLevel="0" collapsed="false">
      <c r="B14" s="7" t="s">
        <v>119</v>
      </c>
      <c r="C14" s="17" t="n">
        <v>284138</v>
      </c>
      <c r="D14" s="17" t="n">
        <v>177</v>
      </c>
    </row>
    <row r="15" customFormat="false" ht="15" hidden="false" customHeight="false" outlineLevel="0" collapsed="false">
      <c r="B15" s="7" t="s">
        <v>120</v>
      </c>
      <c r="C15" s="17" t="n">
        <v>86</v>
      </c>
      <c r="D15" s="17" t="n">
        <v>406</v>
      </c>
    </row>
    <row r="17" customFormat="false" ht="15" hidden="false" customHeight="false" outlineLevel="0" collapsed="false">
      <c r="B17" s="4" t="s">
        <v>121</v>
      </c>
    </row>
    <row r="18" customFormat="false" ht="15" hidden="false" customHeight="false" outlineLevel="0" collapsed="false">
      <c r="B18" s="21" t="s">
        <v>109</v>
      </c>
      <c r="C18" s="21" t="s">
        <v>122</v>
      </c>
      <c r="D18" s="21" t="s">
        <v>123</v>
      </c>
      <c r="E18" s="21" t="s">
        <v>124</v>
      </c>
    </row>
    <row r="19" customFormat="false" ht="15" hidden="false" customHeight="false" outlineLevel="0" collapsed="false">
      <c r="B19" s="7" t="s">
        <v>125</v>
      </c>
      <c r="C19" s="34" t="n">
        <v>0.696397941680961</v>
      </c>
      <c r="D19" s="34" t="n">
        <v>0.9333</v>
      </c>
      <c r="E19" s="35" t="n">
        <f aca="false">C19-D19</f>
        <v>-0.236902058319039</v>
      </c>
    </row>
    <row r="20" customFormat="false" ht="15" hidden="false" customHeight="false" outlineLevel="0" collapsed="false">
      <c r="B20" s="7" t="s">
        <v>126</v>
      </c>
      <c r="C20" s="34" t="n">
        <v>0.82520325203252</v>
      </c>
      <c r="D20" s="34" t="n">
        <v>0.7467</v>
      </c>
      <c r="E20" s="35" t="n">
        <f aca="false">C20-D20</f>
        <v>0.0785032520325203</v>
      </c>
    </row>
    <row r="22" customFormat="false" ht="15" hidden="false" customHeight="false" outlineLevel="0" collapsed="false">
      <c r="B22" s="36" t="s">
        <v>127</v>
      </c>
      <c r="C22" s="36"/>
      <c r="D22" s="36"/>
      <c r="E22" s="36"/>
    </row>
    <row r="23" customFormat="false" ht="30" hidden="false" customHeight="true" outlineLevel="0" collapsed="false">
      <c r="B23" s="25" t="s">
        <v>128</v>
      </c>
      <c r="C23" s="25"/>
      <c r="D23" s="25"/>
      <c r="E23" s="25"/>
    </row>
  </sheetData>
  <mergeCells count="2">
    <mergeCell ref="B22:E22"/>
    <mergeCell ref="B23:E2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4" min="3" style="0" width="20"/>
    <col collapsed="false" customWidth="true" hidden="false" outlineLevel="0" max="6" min="5" style="0" width="14"/>
  </cols>
  <sheetData>
    <row r="2" customFormat="false" ht="32.8" hidden="false" customHeight="false" outlineLevel="0" collapsed="false">
      <c r="B2" s="14" t="s">
        <v>129</v>
      </c>
      <c r="C2" s="15"/>
      <c r="D2" s="15"/>
      <c r="E2" s="15"/>
      <c r="F2" s="15"/>
    </row>
    <row r="3" customFormat="false" ht="15" hidden="false" customHeight="false" outlineLevel="0" collapsed="false">
      <c r="B3" s="37" t="s">
        <v>130</v>
      </c>
    </row>
    <row r="5" customFormat="false" ht="15" hidden="false" customHeight="false" outlineLevel="0" collapsed="false">
      <c r="B5" s="4" t="s">
        <v>131</v>
      </c>
    </row>
    <row r="6" customFormat="false" ht="23.85" hidden="false" customHeight="false" outlineLevel="0" collapsed="false">
      <c r="B6" s="7" t="s">
        <v>132</v>
      </c>
      <c r="C6" s="38" t="n">
        <v>4.41</v>
      </c>
    </row>
    <row r="7" customFormat="false" ht="15" hidden="false" customHeight="false" outlineLevel="0" collapsed="false">
      <c r="B7" s="7" t="s">
        <v>133</v>
      </c>
      <c r="C7" s="39" t="n">
        <v>0.092</v>
      </c>
    </row>
    <row r="9" customFormat="false" ht="15" hidden="false" customHeight="false" outlineLevel="0" collapsed="false">
      <c r="B9" s="4" t="s">
        <v>134</v>
      </c>
    </row>
    <row r="10" customFormat="false" ht="23.85" hidden="false" customHeight="false" outlineLevel="0" collapsed="false">
      <c r="B10" s="21" t="s">
        <v>135</v>
      </c>
      <c r="C10" s="21" t="s">
        <v>136</v>
      </c>
      <c r="D10" s="21" t="s">
        <v>137</v>
      </c>
      <c r="E10" s="21" t="s">
        <v>138</v>
      </c>
      <c r="F10" s="21" t="s">
        <v>139</v>
      </c>
    </row>
    <row r="11" customFormat="false" ht="15" hidden="false" customHeight="false" outlineLevel="0" collapsed="false">
      <c r="B11" s="22" t="s">
        <v>140</v>
      </c>
      <c r="C11" s="40" t="n">
        <v>60127.97</v>
      </c>
      <c r="D11" s="40" t="n">
        <v>0</v>
      </c>
      <c r="E11" s="23" t="n">
        <v>492</v>
      </c>
      <c r="F11" s="23" t="n">
        <v>0</v>
      </c>
    </row>
    <row r="12" customFormat="false" ht="15" hidden="false" customHeight="false" outlineLevel="0" collapsed="false">
      <c r="B12" s="7" t="s">
        <v>141</v>
      </c>
      <c r="C12" s="33" t="n">
        <v>15969.39</v>
      </c>
      <c r="D12" s="33" t="n">
        <v>29367.93</v>
      </c>
      <c r="E12" s="17" t="n">
        <v>103</v>
      </c>
      <c r="F12" s="17" t="n">
        <v>61</v>
      </c>
    </row>
    <row r="13" customFormat="false" ht="15" hidden="false" customHeight="false" outlineLevel="0" collapsed="false">
      <c r="B13" s="22" t="s">
        <v>110</v>
      </c>
      <c r="C13" s="40" t="n">
        <v>13924.88</v>
      </c>
      <c r="D13" s="40" t="n">
        <v>46792.07</v>
      </c>
      <c r="E13" s="23" t="n">
        <v>86</v>
      </c>
      <c r="F13" s="23" t="n">
        <v>177</v>
      </c>
    </row>
    <row r="16" customFormat="false" ht="15" hidden="false" customHeight="false" outlineLevel="0" collapsed="false">
      <c r="B16" s="4" t="s">
        <v>142</v>
      </c>
    </row>
    <row r="17" customFormat="false" ht="15" hidden="false" customHeight="false" outlineLevel="0" collapsed="false">
      <c r="B17" s="21" t="s">
        <v>135</v>
      </c>
      <c r="C17" s="21" t="s">
        <v>143</v>
      </c>
      <c r="D17" s="21" t="s">
        <v>144</v>
      </c>
      <c r="E17" s="21" t="s">
        <v>145</v>
      </c>
    </row>
    <row r="18" customFormat="false" ht="15" hidden="false" customHeight="false" outlineLevel="0" collapsed="false">
      <c r="B18" s="22" t="s">
        <v>140</v>
      </c>
      <c r="C18" s="41" t="n">
        <f aca="false">C11*$C$6+D11*$C$7</f>
        <v>265164.3477</v>
      </c>
      <c r="D18" s="41" t="n">
        <f aca="false">C11*$C$6</f>
        <v>265164.3477</v>
      </c>
      <c r="E18" s="41" t="n">
        <f aca="false">D11*$C$7</f>
        <v>0</v>
      </c>
    </row>
    <row r="19" customFormat="false" ht="15" hidden="false" customHeight="false" outlineLevel="0" collapsed="false">
      <c r="B19" s="7" t="s">
        <v>141</v>
      </c>
      <c r="C19" s="42" t="n">
        <f aca="false">C12*$C$6+D12*$C$7</f>
        <v>73126.85946</v>
      </c>
      <c r="D19" s="42" t="n">
        <f aca="false">C12*$C$6</f>
        <v>70425.0099</v>
      </c>
      <c r="E19" s="42" t="n">
        <f aca="false">D12*$C$7</f>
        <v>2701.84956</v>
      </c>
    </row>
    <row r="20" customFormat="false" ht="15" hidden="false" customHeight="false" outlineLevel="0" collapsed="false">
      <c r="B20" s="22" t="s">
        <v>110</v>
      </c>
      <c r="C20" s="41" t="n">
        <f aca="false">C13*$C$6+D13*$C$7</f>
        <v>65713.59124</v>
      </c>
      <c r="D20" s="41" t="n">
        <f aca="false">C13*$C$6</f>
        <v>61408.7208</v>
      </c>
      <c r="E20" s="41" t="n">
        <f aca="false">D13*$C$7</f>
        <v>4304.87044</v>
      </c>
    </row>
    <row r="22" customFormat="false" ht="15" hidden="false" customHeight="false" outlineLevel="0" collapsed="false">
      <c r="B22" s="4" t="s">
        <v>146</v>
      </c>
    </row>
    <row r="23" customFormat="false" ht="15" hidden="false" customHeight="false" outlineLevel="0" collapsed="false">
      <c r="B23" s="7" t="s">
        <v>147</v>
      </c>
      <c r="C23" s="43" t="n">
        <f aca="false">C18-C20</f>
        <v>199450.75646</v>
      </c>
    </row>
    <row r="24" customFormat="false" ht="15" hidden="false" customHeight="false" outlineLevel="0" collapsed="false">
      <c r="B24" s="7" t="s">
        <v>148</v>
      </c>
      <c r="C24" s="43" t="n">
        <f aca="false">C19-C20</f>
        <v>7413.26822000001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16"/>
  </cols>
  <sheetData>
    <row r="2" customFormat="false" ht="32.8" hidden="false" customHeight="false" outlineLevel="0" collapsed="false">
      <c r="B2" s="14" t="s">
        <v>149</v>
      </c>
      <c r="C2" s="15"/>
      <c r="D2" s="15"/>
    </row>
    <row r="4" customFormat="false" ht="15" hidden="false" customHeight="false" outlineLevel="0" collapsed="false">
      <c r="B4" s="4" t="s">
        <v>150</v>
      </c>
    </row>
    <row r="5" customFormat="false" ht="15" hidden="false" customHeight="false" outlineLevel="0" collapsed="false">
      <c r="B5" s="7" t="s">
        <v>151</v>
      </c>
      <c r="C5" s="17" t="s">
        <v>152</v>
      </c>
    </row>
    <row r="7" customFormat="false" ht="15" hidden="false" customHeight="false" outlineLevel="0" collapsed="false">
      <c r="B7" s="4" t="s">
        <v>153</v>
      </c>
    </row>
    <row r="8" customFormat="false" ht="15" hidden="false" customHeight="false" outlineLevel="0" collapsed="false">
      <c r="B8" s="22" t="s">
        <v>154</v>
      </c>
      <c r="C8" s="44" t="n">
        <v>2</v>
      </c>
    </row>
    <row r="9" customFormat="false" ht="15" hidden="false" customHeight="false" outlineLevel="0" collapsed="false">
      <c r="B9" s="7" t="s">
        <v>155</v>
      </c>
      <c r="C9" s="44" t="n">
        <v>3</v>
      </c>
    </row>
    <row r="10" customFormat="false" ht="15" hidden="false" customHeight="false" outlineLevel="0" collapsed="false">
      <c r="B10" s="22" t="s">
        <v>156</v>
      </c>
      <c r="C10" s="45" t="n">
        <v>0.00172748563062003</v>
      </c>
    </row>
    <row r="11" customFormat="false" ht="15" hidden="false" customHeight="false" outlineLevel="0" collapsed="false">
      <c r="B11" s="7" t="s">
        <v>157</v>
      </c>
      <c r="C11" s="24" t="n">
        <v>0.0051824568918601</v>
      </c>
    </row>
    <row r="12" customFormat="false" ht="15" hidden="false" customHeight="false" outlineLevel="0" collapsed="false">
      <c r="B12" s="22" t="s">
        <v>158</v>
      </c>
      <c r="C12" s="46" t="n">
        <v>569614</v>
      </c>
    </row>
    <row r="13" customFormat="false" ht="15" hidden="false" customHeight="false" outlineLevel="0" collapsed="false">
      <c r="B13" s="7" t="s">
        <v>159</v>
      </c>
      <c r="C13" s="33" t="n">
        <v>260808.076028749</v>
      </c>
    </row>
    <row r="15" customFormat="false" ht="15" hidden="false" customHeight="false" outlineLevel="0" collapsed="false">
      <c r="B15" s="4" t="s">
        <v>160</v>
      </c>
    </row>
    <row r="16" customFormat="false" ht="15" hidden="false" customHeight="false" outlineLevel="0" collapsed="false">
      <c r="B16" s="22" t="s">
        <v>161</v>
      </c>
      <c r="C16" s="45" t="n">
        <v>0.0018889918822505</v>
      </c>
    </row>
    <row r="17" customFormat="false" ht="15" hidden="false" customHeight="false" outlineLevel="0" collapsed="false">
      <c r="B17" s="7" t="s">
        <v>162</v>
      </c>
      <c r="C17" s="24" t="n">
        <v>0.00156597824484035</v>
      </c>
    </row>
    <row r="18" customFormat="false" ht="15" hidden="false" customHeight="false" outlineLevel="0" collapsed="false">
      <c r="B18" s="22" t="s">
        <v>163</v>
      </c>
      <c r="C18" s="26" t="n">
        <v>0.078311245193397</v>
      </c>
    </row>
    <row r="19" customFormat="false" ht="15" hidden="false" customHeight="false" outlineLevel="0" collapsed="false">
      <c r="B19" s="7" t="s">
        <v>164</v>
      </c>
      <c r="C19" s="47" t="n">
        <v>0.25</v>
      </c>
    </row>
    <row r="20" customFormat="false" ht="23.85" hidden="false" customHeight="false" outlineLevel="0" collapsed="false">
      <c r="B20" s="7" t="s">
        <v>165</v>
      </c>
      <c r="C20" s="48" t="str">
        <f aca="false">IF(C18&lt;C19,"No alert - within tolerance","ALERT")</f>
        <v>No alert - within tolerance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6" min="4" style="0" width="16"/>
  </cols>
  <sheetData>
    <row r="2" customFormat="false" ht="79.85" hidden="false" customHeight="false" outlineLevel="0" collapsed="false">
      <c r="B2" s="14" t="s">
        <v>166</v>
      </c>
      <c r="C2" s="15"/>
      <c r="D2" s="15"/>
      <c r="E2" s="15"/>
    </row>
    <row r="4" customFormat="false" ht="15" hidden="false" customHeight="false" outlineLevel="0" collapsed="false">
      <c r="B4" s="21" t="s">
        <v>167</v>
      </c>
      <c r="C4" s="21" t="s">
        <v>61</v>
      </c>
      <c r="D4" s="21" t="s">
        <v>168</v>
      </c>
      <c r="E4" s="21" t="s">
        <v>169</v>
      </c>
      <c r="F4" s="21" t="s">
        <v>170</v>
      </c>
    </row>
    <row r="5" customFormat="false" ht="15" hidden="false" customHeight="false" outlineLevel="0" collapsed="false">
      <c r="B5" s="22" t="s">
        <v>171</v>
      </c>
      <c r="C5" s="23" t="n">
        <v>-0.5</v>
      </c>
      <c r="D5" s="23" t="n">
        <v>492</v>
      </c>
      <c r="E5" s="23" t="n">
        <v>491</v>
      </c>
      <c r="F5" s="49" t="n">
        <v>0.00203252032520325</v>
      </c>
    </row>
    <row r="6" customFormat="false" ht="15" hidden="false" customHeight="false" outlineLevel="0" collapsed="false">
      <c r="B6" s="7" t="s">
        <v>171</v>
      </c>
      <c r="C6" s="17" t="n">
        <v>-0.3</v>
      </c>
      <c r="D6" s="17" t="n">
        <v>492</v>
      </c>
      <c r="E6" s="17" t="n">
        <v>491</v>
      </c>
      <c r="F6" s="34" t="n">
        <v>0.00203252032520325</v>
      </c>
    </row>
    <row r="7" customFormat="false" ht="15" hidden="false" customHeight="false" outlineLevel="0" collapsed="false">
      <c r="B7" s="22" t="s">
        <v>171</v>
      </c>
      <c r="C7" s="23" t="n">
        <v>-0.2</v>
      </c>
      <c r="D7" s="23" t="n">
        <v>492</v>
      </c>
      <c r="E7" s="23" t="n">
        <v>491</v>
      </c>
      <c r="F7" s="49" t="n">
        <v>0.00203252032520325</v>
      </c>
    </row>
    <row r="8" customFormat="false" ht="15" hidden="false" customHeight="false" outlineLevel="0" collapsed="false">
      <c r="B8" s="7" t="s">
        <v>171</v>
      </c>
      <c r="C8" s="17" t="n">
        <v>-0.1</v>
      </c>
      <c r="D8" s="17" t="n">
        <v>492</v>
      </c>
      <c r="E8" s="17" t="n">
        <v>492</v>
      </c>
      <c r="F8" s="34" t="n">
        <v>0</v>
      </c>
    </row>
    <row r="9" customFormat="false" ht="15" hidden="false" customHeight="false" outlineLevel="0" collapsed="false">
      <c r="B9" s="22" t="s">
        <v>171</v>
      </c>
      <c r="C9" s="23" t="n">
        <v>0.1</v>
      </c>
      <c r="D9" s="23" t="n">
        <v>492</v>
      </c>
      <c r="E9" s="23" t="n">
        <v>492</v>
      </c>
      <c r="F9" s="49" t="n">
        <v>0</v>
      </c>
    </row>
    <row r="10" customFormat="false" ht="15" hidden="false" customHeight="false" outlineLevel="0" collapsed="false">
      <c r="B10" s="7" t="s">
        <v>171</v>
      </c>
      <c r="C10" s="17" t="n">
        <v>0.2</v>
      </c>
      <c r="D10" s="17" t="n">
        <v>492</v>
      </c>
      <c r="E10" s="17" t="n">
        <v>492</v>
      </c>
      <c r="F10" s="34" t="n">
        <v>0</v>
      </c>
    </row>
    <row r="11" customFormat="false" ht="15" hidden="false" customHeight="false" outlineLevel="0" collapsed="false">
      <c r="B11" s="22" t="s">
        <v>171</v>
      </c>
      <c r="C11" s="23" t="n">
        <v>0.3</v>
      </c>
      <c r="D11" s="23" t="n">
        <v>492</v>
      </c>
      <c r="E11" s="23" t="n">
        <v>491</v>
      </c>
      <c r="F11" s="49" t="n">
        <v>0.00203252032520325</v>
      </c>
    </row>
    <row r="12" customFormat="false" ht="15" hidden="false" customHeight="false" outlineLevel="0" collapsed="false">
      <c r="B12" s="7" t="s">
        <v>171</v>
      </c>
      <c r="C12" s="17" t="n">
        <v>0.5</v>
      </c>
      <c r="D12" s="17" t="n">
        <v>492</v>
      </c>
      <c r="E12" s="17" t="n">
        <v>491</v>
      </c>
      <c r="F12" s="34" t="n">
        <v>0.00203252032520325</v>
      </c>
    </row>
    <row r="13" customFormat="false" ht="15" hidden="false" customHeight="false" outlineLevel="0" collapsed="false">
      <c r="B13" s="22" t="s">
        <v>172</v>
      </c>
      <c r="C13" s="23" t="n">
        <v>-6</v>
      </c>
      <c r="D13" s="23" t="n">
        <v>492</v>
      </c>
      <c r="E13" s="23" t="n">
        <v>492</v>
      </c>
      <c r="F13" s="49" t="n">
        <v>0</v>
      </c>
    </row>
    <row r="14" customFormat="false" ht="15" hidden="false" customHeight="false" outlineLevel="0" collapsed="false">
      <c r="B14" s="7" t="s">
        <v>172</v>
      </c>
      <c r="C14" s="17" t="n">
        <v>-3</v>
      </c>
      <c r="D14" s="17" t="n">
        <v>492</v>
      </c>
      <c r="E14" s="17" t="n">
        <v>492</v>
      </c>
      <c r="F14" s="34" t="n">
        <v>0</v>
      </c>
    </row>
    <row r="15" customFormat="false" ht="15" hidden="false" customHeight="false" outlineLevel="0" collapsed="false">
      <c r="B15" s="22" t="s">
        <v>172</v>
      </c>
      <c r="C15" s="23" t="n">
        <v>3</v>
      </c>
      <c r="D15" s="23" t="n">
        <v>492</v>
      </c>
      <c r="E15" s="23" t="n">
        <v>492</v>
      </c>
      <c r="F15" s="49" t="n">
        <v>0</v>
      </c>
    </row>
    <row r="16" customFormat="false" ht="15" hidden="false" customHeight="false" outlineLevel="0" collapsed="false">
      <c r="B16" s="7" t="s">
        <v>172</v>
      </c>
      <c r="C16" s="17" t="n">
        <v>6</v>
      </c>
      <c r="D16" s="17" t="n">
        <v>492</v>
      </c>
      <c r="E16" s="17" t="n">
        <v>492</v>
      </c>
      <c r="F16" s="34" t="n">
        <v>0</v>
      </c>
    </row>
    <row r="17" customFormat="false" ht="15" hidden="false" customHeight="false" outlineLevel="0" collapsed="false">
      <c r="B17" s="22" t="s">
        <v>172</v>
      </c>
      <c r="C17" s="23" t="n">
        <v>12</v>
      </c>
      <c r="D17" s="23" t="n">
        <v>492</v>
      </c>
      <c r="E17" s="23" t="n">
        <v>492</v>
      </c>
      <c r="F17" s="49" t="n">
        <v>0</v>
      </c>
    </row>
    <row r="20" customFormat="false" ht="15" hidden="false" customHeight="false" outlineLevel="0" collapsed="false">
      <c r="B20" s="4" t="s">
        <v>173</v>
      </c>
    </row>
    <row r="21" customFormat="false" ht="15" hidden="false" customHeight="false" outlineLevel="0" collapsed="false">
      <c r="B21" s="7" t="s">
        <v>174</v>
      </c>
      <c r="C21" s="17" t="n">
        <v>492</v>
      </c>
    </row>
    <row r="22" customFormat="false" ht="23.85" hidden="false" customHeight="false" outlineLevel="0" collapsed="false">
      <c r="B22" s="7" t="s">
        <v>175</v>
      </c>
      <c r="C22" s="17" t="n">
        <v>3</v>
      </c>
    </row>
    <row r="23" customFormat="false" ht="15" hidden="false" customHeight="false" outlineLevel="0" collapsed="false">
      <c r="B23" s="7" t="s">
        <v>176</v>
      </c>
      <c r="C23" s="34" t="n">
        <v>0.00609756097560976</v>
      </c>
    </row>
    <row r="24" customFormat="false" ht="23.85" hidden="false" customHeight="false" outlineLevel="0" collapsed="false">
      <c r="B24" s="7" t="s">
        <v>177</v>
      </c>
      <c r="C24" s="34" t="n">
        <v>0.58</v>
      </c>
    </row>
    <row r="26" customFormat="false" ht="45" hidden="false" customHeight="true" outlineLevel="0" collapsed="false">
      <c r="B26" s="50" t="s">
        <v>178</v>
      </c>
      <c r="C26" s="50"/>
      <c r="D26" s="50"/>
      <c r="E26" s="50"/>
      <c r="F26" s="50"/>
    </row>
  </sheetData>
  <mergeCells count="1">
    <mergeCell ref="B26:F2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16"/>
  </cols>
  <sheetData>
    <row r="2" customFormat="false" ht="48.5" hidden="false" customHeight="false" outlineLevel="0" collapsed="false">
      <c r="B2" s="14" t="s">
        <v>179</v>
      </c>
      <c r="C2" s="15"/>
    </row>
    <row r="4" customFormat="false" ht="15" hidden="false" customHeight="false" outlineLevel="0" collapsed="false">
      <c r="B4" s="22" t="s">
        <v>180</v>
      </c>
      <c r="C4" s="23" t="n">
        <v>300</v>
      </c>
    </row>
    <row r="5" customFormat="false" ht="15" hidden="false" customHeight="false" outlineLevel="0" collapsed="false">
      <c r="B5" s="7" t="s">
        <v>181</v>
      </c>
      <c r="C5" s="17" t="n">
        <v>1</v>
      </c>
    </row>
    <row r="6" customFormat="false" ht="15" hidden="false" customHeight="false" outlineLevel="0" collapsed="false">
      <c r="B6" s="22" t="s">
        <v>182</v>
      </c>
      <c r="C6" s="23" t="n">
        <v>299</v>
      </c>
    </row>
    <row r="7" customFormat="false" ht="15" hidden="false" customHeight="false" outlineLevel="0" collapsed="false">
      <c r="B7" s="7" t="s">
        <v>183</v>
      </c>
      <c r="C7" s="47" t="n">
        <v>1.55363788999542</v>
      </c>
    </row>
    <row r="8" customFormat="false" ht="15" hidden="false" customHeight="false" outlineLevel="0" collapsed="false">
      <c r="B8" s="22" t="s">
        <v>184</v>
      </c>
      <c r="C8" s="51" t="n">
        <v>1.48364350002339</v>
      </c>
    </row>
    <row r="9" customFormat="false" ht="15" hidden="false" customHeight="false" outlineLevel="0" collapsed="false">
      <c r="B9" s="7" t="s">
        <v>185</v>
      </c>
      <c r="C9" s="47" t="n">
        <v>1.83479324991822</v>
      </c>
    </row>
    <row r="10" customFormat="false" ht="15" hidden="false" customHeight="false" outlineLevel="0" collapsed="false">
      <c r="B10" s="22" t="s">
        <v>186</v>
      </c>
      <c r="C10" s="51" t="n">
        <v>2.27497720020437</v>
      </c>
    </row>
    <row r="11" customFormat="false" ht="15" hidden="false" customHeight="false" outlineLevel="0" collapsed="false">
      <c r="B11" s="7" t="s">
        <v>187</v>
      </c>
      <c r="C11" s="47" t="n">
        <v>6.6662549998</v>
      </c>
    </row>
    <row r="13" customFormat="false" ht="30" hidden="false" customHeight="true" outlineLevel="0" collapsed="false">
      <c r="B13" s="25" t="s">
        <v>188</v>
      </c>
      <c r="C13" s="25"/>
      <c r="D13" s="25"/>
      <c r="E13" s="25"/>
    </row>
  </sheetData>
  <mergeCells count="1">
    <mergeCell ref="B13:E1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26"/>
  </cols>
  <sheetData>
    <row r="2" customFormat="false" ht="126.85" hidden="false" customHeight="false" outlineLevel="0" collapsed="false">
      <c r="B2" s="14" t="s">
        <v>189</v>
      </c>
      <c r="C2" s="15"/>
      <c r="D2" s="15"/>
    </row>
    <row r="4" customFormat="false" ht="15" hidden="false" customHeight="false" outlineLevel="0" collapsed="false">
      <c r="B4" s="21" t="s">
        <v>190</v>
      </c>
      <c r="C4" s="21" t="s">
        <v>109</v>
      </c>
      <c r="D4" s="21" t="s">
        <v>61</v>
      </c>
      <c r="E4" s="21" t="s">
        <v>191</v>
      </c>
    </row>
    <row r="5" customFormat="false" ht="15" hidden="false" customHeight="false" outlineLevel="0" collapsed="false">
      <c r="B5" s="22" t="s">
        <v>192</v>
      </c>
      <c r="C5" s="29" t="s">
        <v>62</v>
      </c>
      <c r="D5" s="29" t="n">
        <v>284807</v>
      </c>
      <c r="E5" s="29" t="s">
        <v>193</v>
      </c>
    </row>
    <row r="6" customFormat="false" ht="15" hidden="false" customHeight="false" outlineLevel="0" collapsed="false">
      <c r="B6" s="7" t="s">
        <v>192</v>
      </c>
      <c r="C6" s="30" t="s">
        <v>64</v>
      </c>
      <c r="D6" s="30" t="n">
        <v>492</v>
      </c>
      <c r="E6" s="30" t="s">
        <v>193</v>
      </c>
    </row>
    <row r="7" customFormat="false" ht="15" hidden="false" customHeight="false" outlineLevel="0" collapsed="false">
      <c r="B7" s="22" t="s">
        <v>192</v>
      </c>
      <c r="C7" s="29" t="s">
        <v>65</v>
      </c>
      <c r="D7" s="29" t="s">
        <v>194</v>
      </c>
      <c r="E7" s="29" t="s">
        <v>193</v>
      </c>
    </row>
    <row r="8" customFormat="false" ht="15" hidden="false" customHeight="false" outlineLevel="0" collapsed="false">
      <c r="B8" s="7" t="s">
        <v>195</v>
      </c>
      <c r="C8" s="30" t="s">
        <v>196</v>
      </c>
      <c r="D8" s="30" t="s">
        <v>197</v>
      </c>
      <c r="E8" s="30" t="s">
        <v>193</v>
      </c>
    </row>
    <row r="9" customFormat="false" ht="15" hidden="false" customHeight="false" outlineLevel="0" collapsed="false">
      <c r="B9" s="22" t="s">
        <v>198</v>
      </c>
      <c r="C9" s="29" t="s">
        <v>199</v>
      </c>
      <c r="D9" s="29" t="s">
        <v>45</v>
      </c>
      <c r="E9" s="29" t="s">
        <v>193</v>
      </c>
    </row>
    <row r="10" customFormat="false" ht="15" hidden="false" customHeight="false" outlineLevel="0" collapsed="false">
      <c r="B10" s="7" t="s">
        <v>198</v>
      </c>
      <c r="C10" s="30" t="s">
        <v>200</v>
      </c>
      <c r="D10" s="30" t="s">
        <v>84</v>
      </c>
      <c r="E10" s="30" t="s">
        <v>193</v>
      </c>
    </row>
    <row r="11" customFormat="false" ht="15" hidden="false" customHeight="false" outlineLevel="0" collapsed="false">
      <c r="B11" s="22" t="s">
        <v>201</v>
      </c>
      <c r="C11" s="29" t="s">
        <v>202</v>
      </c>
      <c r="D11" s="29" t="n">
        <v>0.8482</v>
      </c>
      <c r="E11" s="29" t="s">
        <v>193</v>
      </c>
    </row>
    <row r="12" customFormat="false" ht="15" hidden="false" customHeight="false" outlineLevel="0" collapsed="false">
      <c r="B12" s="7" t="s">
        <v>201</v>
      </c>
      <c r="C12" s="30" t="s">
        <v>203</v>
      </c>
      <c r="D12" s="30" t="n">
        <v>0.8448</v>
      </c>
      <c r="E12" s="30" t="s">
        <v>193</v>
      </c>
    </row>
    <row r="13" customFormat="false" ht="15" hidden="false" customHeight="false" outlineLevel="0" collapsed="false">
      <c r="B13" s="22" t="s">
        <v>204</v>
      </c>
      <c r="C13" s="29" t="s">
        <v>205</v>
      </c>
      <c r="D13" s="29" t="n">
        <v>0.7692</v>
      </c>
      <c r="E13" s="29" t="s">
        <v>193</v>
      </c>
    </row>
    <row r="14" customFormat="false" ht="15" hidden="false" customHeight="false" outlineLevel="0" collapsed="false">
      <c r="B14" s="7" t="s">
        <v>206</v>
      </c>
      <c r="C14" s="30" t="s">
        <v>110</v>
      </c>
      <c r="D14" s="30" t="n">
        <v>0.0443</v>
      </c>
      <c r="E14" s="30" t="s">
        <v>193</v>
      </c>
    </row>
    <row r="15" customFormat="false" ht="15" hidden="false" customHeight="false" outlineLevel="0" collapsed="false">
      <c r="B15" s="22" t="s">
        <v>206</v>
      </c>
      <c r="C15" s="29" t="s">
        <v>114</v>
      </c>
      <c r="D15" s="29" t="s">
        <v>207</v>
      </c>
      <c r="E15" s="29" t="s">
        <v>193</v>
      </c>
    </row>
    <row r="16" customFormat="false" ht="15" hidden="false" customHeight="false" outlineLevel="0" collapsed="false">
      <c r="B16" s="7" t="s">
        <v>206</v>
      </c>
      <c r="C16" s="30" t="s">
        <v>115</v>
      </c>
      <c r="D16" s="30" t="s">
        <v>208</v>
      </c>
      <c r="E16" s="30" t="s">
        <v>193</v>
      </c>
    </row>
    <row r="17" customFormat="false" ht="15" hidden="false" customHeight="false" outlineLevel="0" collapsed="false">
      <c r="B17" s="22" t="s">
        <v>206</v>
      </c>
      <c r="C17" s="29" t="s">
        <v>209</v>
      </c>
      <c r="D17" s="29" t="s">
        <v>152</v>
      </c>
      <c r="E17" s="29" t="s">
        <v>210</v>
      </c>
    </row>
    <row r="18" customFormat="false" ht="15" hidden="false" customHeight="false" outlineLevel="0" collapsed="false">
      <c r="B18" s="7" t="s">
        <v>211</v>
      </c>
      <c r="C18" s="30" t="s">
        <v>212</v>
      </c>
      <c r="D18" s="30" t="n">
        <v>199450.76</v>
      </c>
      <c r="E18" s="30" t="s">
        <v>193</v>
      </c>
    </row>
    <row r="19" customFormat="false" ht="15" hidden="false" customHeight="false" outlineLevel="0" collapsed="false">
      <c r="B19" s="22" t="s">
        <v>211</v>
      </c>
      <c r="C19" s="29" t="s">
        <v>213</v>
      </c>
      <c r="D19" s="29" t="n">
        <v>7413.27</v>
      </c>
      <c r="E19" s="29" t="s">
        <v>193</v>
      </c>
    </row>
    <row r="20" customFormat="false" ht="15" hidden="false" customHeight="false" outlineLevel="0" collapsed="false">
      <c r="B20" s="7" t="s">
        <v>214</v>
      </c>
      <c r="C20" s="30" t="s">
        <v>215</v>
      </c>
      <c r="D20" s="30" t="s">
        <v>152</v>
      </c>
      <c r="E20" s="30" t="s">
        <v>193</v>
      </c>
    </row>
    <row r="21" customFormat="false" ht="15" hidden="false" customHeight="false" outlineLevel="0" collapsed="false">
      <c r="B21" s="22" t="s">
        <v>214</v>
      </c>
      <c r="C21" s="29" t="s">
        <v>216</v>
      </c>
      <c r="D21" s="29" t="n">
        <v>260808.08</v>
      </c>
      <c r="E21" s="29" t="s">
        <v>217</v>
      </c>
    </row>
    <row r="22" customFormat="false" ht="15" hidden="false" customHeight="false" outlineLevel="0" collapsed="false">
      <c r="B22" s="7" t="s">
        <v>218</v>
      </c>
      <c r="C22" s="30" t="s">
        <v>219</v>
      </c>
      <c r="D22" s="30" t="n">
        <v>0.0783</v>
      </c>
      <c r="E22" s="30" t="s">
        <v>193</v>
      </c>
    </row>
    <row r="23" customFormat="false" ht="15" hidden="false" customHeight="false" outlineLevel="0" collapsed="false">
      <c r="B23" s="22" t="s">
        <v>220</v>
      </c>
      <c r="C23" s="29" t="s">
        <v>221</v>
      </c>
      <c r="D23" s="29" t="s">
        <v>222</v>
      </c>
      <c r="E23" s="29" t="s">
        <v>223</v>
      </c>
    </row>
    <row r="24" customFormat="false" ht="15" hidden="false" customHeight="false" outlineLevel="0" collapsed="false">
      <c r="B24" s="7" t="s">
        <v>224</v>
      </c>
      <c r="C24" s="30" t="s">
        <v>225</v>
      </c>
      <c r="D24" s="30" t="n">
        <v>1.55</v>
      </c>
      <c r="E24" s="30" t="s">
        <v>226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2026-09-13T13:04:54Z</dcterms:created>
  <dc:creator>openpyxl</dc:creator>
  <dc:description/>
  <dc:language>en-US</dc:language>
  <cp:lastModifiedBy/>
  <dcterms:modified xsi:type="dcterms:W3CDTF">2026-09-13T13:04:54Z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